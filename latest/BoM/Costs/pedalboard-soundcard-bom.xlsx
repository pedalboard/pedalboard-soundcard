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DNF" sheetId="2" r:id="rId2"/>
    <sheet name="Costs" sheetId="3" r:id="rId3"/>
    <sheet name="Costs (DNF)" sheetId="4" r:id="rId4"/>
    <sheet name="Colors" sheetId="5" r:id="rId5"/>
  </sheets>
  <definedNames>
    <definedName name="BoardQty" localSheetId="3">'Costs (DNF)'!$G$2</definedName>
    <definedName name="BoardQty" localSheetId="2">'Costs'!$H$2</definedName>
    <definedName name="_xlnm.Print_Titles" localSheetId="0">BoM!$9:$9</definedName>
    <definedName name="_xlnm.Print_Titles" localSheetId="1">DNF!$9:$9</definedName>
    <definedName name="TotalCost" localSheetId="3">'Costs (DNF)'!$G$4</definedName>
    <definedName name="TotalCost" localSheetId="2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Description of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E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F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</commentList>
</comments>
</file>

<file path=xl/sharedStrings.xml><?xml version="1.0" encoding="utf-8"?>
<sst xmlns="http://schemas.openxmlformats.org/spreadsheetml/2006/main" count="441" uniqueCount="170">
  <si>
    <t>Row</t>
  </si>
  <si>
    <t>Description</t>
  </si>
  <si>
    <t>Part</t>
  </si>
  <si>
    <t>References</t>
  </si>
  <si>
    <t>Value</t>
  </si>
  <si>
    <t>Footprint</t>
  </si>
  <si>
    <t>Quantity Per PCB</t>
  </si>
  <si>
    <t>Status</t>
  </si>
  <si>
    <t>Datasheet</t>
  </si>
  <si>
    <t>Supplier</t>
  </si>
  <si>
    <t>Sim.Pins</t>
  </si>
  <si>
    <t>1</t>
  </si>
  <si>
    <t/>
  </si>
  <si>
    <t>C</t>
  </si>
  <si>
    <t>C21 C22 C25 C26</t>
  </si>
  <si>
    <t>2n2</t>
  </si>
  <si>
    <t>C_0805_2012Metric</t>
  </si>
  <si>
    <t>4</t>
  </si>
  <si>
    <t xml:space="preserve"> </t>
  </si>
  <si>
    <t>https://www.samsungsem.com/resources/file/global/support/product_catalog/MLCC.pdf</t>
  </si>
  <si>
    <t>https://www.digikey.ch/de/products/detail/samsung-electro-mechanics/CL21B222KBANNNC/3886829</t>
  </si>
  <si>
    <t>2</t>
  </si>
  <si>
    <t>C33 C34</t>
  </si>
  <si>
    <t>10n_film</t>
  </si>
  <si>
    <t>https://industrial.panasonic.com/ww/products/pt/film-cap-electroequip/models/ECHU1C103JX5</t>
  </si>
  <si>
    <t>https://www.digikey.ch/en/products/detail/panasonic-electronic-components/ECH-U1C103JX5/353645</t>
  </si>
  <si>
    <t>3</t>
  </si>
  <si>
    <t>C1 C11 C14 C16 C19 C20 C28 C29 C32</t>
  </si>
  <si>
    <t>100n</t>
  </si>
  <si>
    <t>9</t>
  </si>
  <si>
    <t>https://www.digikey.ch/de/products/detail/samsung-electro-mechanics/CL21B104KBCNNNC/3886661</t>
  </si>
  <si>
    <t>C13 C17 C18 C23 C24 C27 C30 C31</t>
  </si>
  <si>
    <t>1u</t>
  </si>
  <si>
    <t>8</t>
  </si>
  <si>
    <t>https://www.digikey.ch/de/products/detail/samsung-electro-mechanics/CL21B105KAFNNNE/3886724</t>
  </si>
  <si>
    <t>5</t>
  </si>
  <si>
    <t>C2 C3 C4 C5 C6 C7 C8 C9 C10 C12 C15</t>
  </si>
  <si>
    <t>10u</t>
  </si>
  <si>
    <t>11</t>
  </si>
  <si>
    <t>https://www.digikey.ch/de/products/detail/samsung-electro-mechanics/CL21X106KAYNNNE/5961182</t>
  </si>
  <si>
    <t>6</t>
  </si>
  <si>
    <t>LED</t>
  </si>
  <si>
    <t>D1 D2</t>
  </si>
  <si>
    <t>LED_R</t>
  </si>
  <si>
    <t>LED_0805_2012Metric</t>
  </si>
  <si>
    <t>1=K 2=A</t>
  </si>
  <si>
    <t>7</t>
  </si>
  <si>
    <t>Conn_02x03_Odd_Even</t>
  </si>
  <si>
    <t>J2 J3</t>
  </si>
  <si>
    <t>PinSocket_2x03_P2.54mm_Vertical</t>
  </si>
  <si>
    <t>https://www.te.com/commerce/DocumentDelivery/DDEController?Action=srchrtrv&amp;DocNm=534206&amp;DocType=Customer+Drawing&amp;DocLang=English</t>
  </si>
  <si>
    <t>https://www.digikey.ch/de/products/detail/te-connectivity-amp-connectors/5-534206-3/1093005</t>
  </si>
  <si>
    <t>RPi_GPIO</t>
  </si>
  <si>
    <t>J1</t>
  </si>
  <si>
    <t>Pin_Header_Straight_2x20</t>
  </si>
  <si>
    <t>https://cdn-shop.adafruit.com/product-files/2222/00587.pdf</t>
  </si>
  <si>
    <t>https://www.digikey.ch/en/products/detail/adafruit-industries-llc/2222/6238005</t>
  </si>
  <si>
    <t>R</t>
  </si>
  <si>
    <t>R2 R3 R8 R12 R14 R15 R21 R22 R26 R27</t>
  </si>
  <si>
    <t>100R</t>
  </si>
  <si>
    <t>R_0805_2012Metric</t>
  </si>
  <si>
    <t>10</t>
  </si>
  <si>
    <t>https://www.seielect.com/catalog/sei-rmcf_rmcp.pdf</t>
  </si>
  <si>
    <t>https://www.digikey.ch/de/products/detail/stackpole-electronics-inc/RMCF0805FT100R/1760711</t>
  </si>
  <si>
    <t>R16 R17 R18 R19</t>
  </si>
  <si>
    <t>470R</t>
  </si>
  <si>
    <t>https://www.digikey.ch/de/products/detail/stackpole-electronics-inc/RMCF0805FT470R/1760300</t>
  </si>
  <si>
    <t>R5 R6 R7</t>
  </si>
  <si>
    <t>3K9</t>
  </si>
  <si>
    <t>https://www.digikey.ch/de/products/detail/stackpole-electronics-inc/RMCF0805FT3K90/1760599</t>
  </si>
  <si>
    <t>12</t>
  </si>
  <si>
    <t>R1 R20 R23 R24 R25</t>
  </si>
  <si>
    <t>10K</t>
  </si>
  <si>
    <t>https://www.digikey.ch/de/products/detail/stackpole-electronics-inc/RMCF0805FT10K0/1760676</t>
  </si>
  <si>
    <t>13</t>
  </si>
  <si>
    <t>R4 R9 R11 R13</t>
  </si>
  <si>
    <t>100K</t>
  </si>
  <si>
    <t>https://www.digikey.ch/de/products/detail/stackpole-electronics-inc/RMCF0805FG100K/1712614</t>
  </si>
  <si>
    <t>14</t>
  </si>
  <si>
    <t>AT24CS01-STUM</t>
  </si>
  <si>
    <t>U1</t>
  </si>
  <si>
    <t>SOT-23-5</t>
  </si>
  <si>
    <t>https://ww1.microchip.com/downloads/en/DeviceDoc/AT24C01C-AT24C02C-I2C-Compatible-Two-Wire-Serial-EEPROM-1Kbit-2Kbit-20006111A.pdf</t>
  </si>
  <si>
    <t>https://www.digikey.ch/de/products/detail/microchip-technology/AT24C01C-STUM-T/3903763</t>
  </si>
  <si>
    <t>15</t>
  </si>
  <si>
    <t>NCP163ASN330T1G</t>
  </si>
  <si>
    <t>U2 U3 U5</t>
  </si>
  <si>
    <t>NCP163</t>
  </si>
  <si>
    <t>https://www.onsemi.com/pdf/datasheet/ncp163-d.pdf</t>
  </si>
  <si>
    <t>https://www.digikey.ch/de/products/detail/onsemi/NCP163ASN330T1G/9694661</t>
  </si>
  <si>
    <t>16</t>
  </si>
  <si>
    <t>PCM1863DBT-pcm1863</t>
  </si>
  <si>
    <t>U4</t>
  </si>
  <si>
    <t>PCM1863DBT</t>
  </si>
  <si>
    <t>TSSOP-30_4.4x7.8mm_P0.5mm</t>
  </si>
  <si>
    <t>https://www.ti.com/lit/ds/symlink/pcm1863.pdf</t>
  </si>
  <si>
    <t>https://www.digikey.ch/de/products/detail/texas-instruments/PCM1863DBT/4895616</t>
  </si>
  <si>
    <t>17</t>
  </si>
  <si>
    <t>PCM5242RHBR-pcm5242</t>
  </si>
  <si>
    <t>U6</t>
  </si>
  <si>
    <t>PCM5242RHBR</t>
  </si>
  <si>
    <t>HVQFN-32-1EP_5x5mm_P0.5mm_EP3.1x3.1mm_ThermalVias</t>
  </si>
  <si>
    <t>https://www.ti.com/lit/ds/symlink/pcm5242.pdf</t>
  </si>
  <si>
    <t>https://www.digikey.ch/de/products/detail/texas-instruments/PCM5242RHBR/6571831</t>
  </si>
  <si>
    <t>18</t>
  </si>
  <si>
    <t>ASCO-Oscillator</t>
  </si>
  <si>
    <t>X1</t>
  </si>
  <si>
    <t>22.5792M</t>
  </si>
  <si>
    <t>Oscillator_SMD_Abracon_ASDMB-4Pin_2.5x2.0mm</t>
  </si>
  <si>
    <t>https://media.digikey.com/pdf/Data%20Sheets/Kyocera%20International/Z_Series_X_Type.pdf</t>
  </si>
  <si>
    <t>https://www.digikey.ch/en/products/detail/kyocera-avx/KC2016Z22-5792C1KX00/11610237</t>
  </si>
  <si>
    <t>19</t>
  </si>
  <si>
    <t>X2</t>
  </si>
  <si>
    <t>24.576M</t>
  </si>
  <si>
    <t>https://www.digikey.ch/en/products/detail/kyocera-avx/KC2016Z24-5760C1KX00/11610181</t>
  </si>
  <si>
    <t>KiBot Bill of Materials</t>
  </si>
  <si>
    <t>Schematic:</t>
  </si>
  <si>
    <t>pedalboard-soundcard</t>
  </si>
  <si>
    <t>Variant:</t>
  </si>
  <si>
    <t>default</t>
  </si>
  <si>
    <t>Revision:</t>
  </si>
  <si>
    <t>1.0.1-RC</t>
  </si>
  <si>
    <t>Date:</t>
  </si>
  <si>
    <t>2024-10-16</t>
  </si>
  <si>
    <t>KiCad Version:</t>
  </si>
  <si>
    <t>10.0.1-10.0.1~ubuntu25.10.1</t>
  </si>
  <si>
    <t>Component Groups:</t>
  </si>
  <si>
    <t>Component Count:</t>
  </si>
  <si>
    <t>76 (71 SMD/ 5 THT)</t>
  </si>
  <si>
    <t>Fitted Components:</t>
  </si>
  <si>
    <t>73 (70 SMD/ 3 THT)</t>
  </si>
  <si>
    <t>Number of PCBs:</t>
  </si>
  <si>
    <t>Total Components:</t>
  </si>
  <si>
    <t>AudioJack3_SwitchTR</t>
  </si>
  <si>
    <t>J4 J5</t>
  </si>
  <si>
    <t>Audio_Jack</t>
  </si>
  <si>
    <t>Jack_3.5mm_CUI_SJ1-3525N_Horizontal</t>
  </si>
  <si>
    <t xml:space="preserve"> (DNF)</t>
  </si>
  <si>
    <t>https://www.cuidevices.com/product/resource/sj1-352xng.pdf</t>
  </si>
  <si>
    <t>https://www.digikey.ch/de/products/detail/schurter-inc/4833-2320/2644235</t>
  </si>
  <si>
    <t>R10</t>
  </si>
  <si>
    <t>Global Part Info</t>
  </si>
  <si>
    <t>Manf#</t>
  </si>
  <si>
    <t>Build Quantity</t>
  </si>
  <si>
    <t>Unit$</t>
  </si>
  <si>
    <t>Ext$</t>
  </si>
  <si>
    <t>Film Capacitor</t>
  </si>
  <si>
    <t>Light emitting diode</t>
  </si>
  <si>
    <t>250mA low-noise LDO, 2.2V-5.5V input, 3.3V output, SOT-23-5</t>
  </si>
  <si>
    <t>Board Qty:</t>
  </si>
  <si>
    <t>Total Cost:</t>
  </si>
  <si>
    <t>Unit Cost:</t>
  </si>
  <si>
    <t>Created:</t>
  </si>
  <si>
    <t>2026-04-22 21:50:05</t>
  </si>
  <si>
    <t>KiCost® v1.1.20 + KiBot v1.8.6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</si>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</sst>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1">
    <numFmt numFmtId="164" formatCode="$#,##0.00"/>
  </numFmts>
  <fonts count="1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009879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11" borderId="0" xfId="0" applyFill="1"/>
    <xf numFmtId="0" fontId="0" fillId="12" borderId="0" xfId="0" applyFill="1"/>
    <xf numFmtId="0" fontId="10" fillId="13" borderId="0" xfId="0" applyFont="1" applyFill="1"/>
    <xf numFmtId="0" fontId="10" fillId="14" borderId="0" xfId="0" applyFont="1" applyFill="1"/>
    <xf numFmtId="0" fontId="0" fillId="15" borderId="0" xfId="0" applyFill="1"/>
    <xf numFmtId="0" fontId="11" fillId="16" borderId="0" xfId="0" applyFont="1" applyFill="1"/>
    <xf numFmtId="0" fontId="0" fillId="17" borderId="0" xfId="0" applyFill="1"/>
    <xf numFmtId="0" fontId="0" fillId="18" borderId="0" xfId="0" applyFill="1" applyAlignment="1">
      <alignment vertical="center" wrapText="1"/>
    </xf>
    <xf numFmtId="0" fontId="12" fillId="0" borderId="0" xfId="0" applyFont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rgb="FFAAAAA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16584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16584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2378784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750009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amsungsem.com/resources/file/global/support/product_catalog/MLCC.pdf" TargetMode="External"/><Relationship Id="rId2" Type="http://schemas.openxmlformats.org/officeDocument/2006/relationships/hyperlink" Target="https://industrial.panasonic.com/ww/products/pt/film-cap-electroequip/models/ECHU1C103JX5" TargetMode="External"/><Relationship Id="rId3" Type="http://schemas.openxmlformats.org/officeDocument/2006/relationships/hyperlink" Target="https://www.samsungsem.com/resources/file/global/support/product_catalog/MLCC.pdf" TargetMode="External"/><Relationship Id="rId4" Type="http://schemas.openxmlformats.org/officeDocument/2006/relationships/hyperlink" Target="https://www.samsungsem.com/resources/file/global/support/product_catalog/MLCC.pdf" TargetMode="External"/><Relationship Id="rId5" Type="http://schemas.openxmlformats.org/officeDocument/2006/relationships/hyperlink" Target="https://www.samsungsem.com/resources/file/global/support/product_catalog/MLCC.pdf" TargetMode="External"/><Relationship Id="rId6" Type="http://schemas.openxmlformats.org/officeDocument/2006/relationships/hyperlink" Target="https://www.te.com/commerce/DocumentDelivery/DDEController?Action=srchrtrv&amp;DocNm=534206&amp;DocType=Customer+Drawing&amp;DocLang=English" TargetMode="External"/><Relationship Id="rId7" Type="http://schemas.openxmlformats.org/officeDocument/2006/relationships/hyperlink" Target="https://cdn-shop.adafruit.com/product-files/2222/00587.pdf" TargetMode="External"/><Relationship Id="rId8" Type="http://schemas.openxmlformats.org/officeDocument/2006/relationships/hyperlink" Target="https://www.seielect.com/catalog/sei-rmcf_rmcp.pdf" TargetMode="External"/><Relationship Id="rId9" Type="http://schemas.openxmlformats.org/officeDocument/2006/relationships/hyperlink" Target="https://www.seielect.com/catalog/sei-rmcf_rmcp.pdf" TargetMode="External"/><Relationship Id="rId10" Type="http://schemas.openxmlformats.org/officeDocument/2006/relationships/hyperlink" Target="https://www.seielect.com/catalog/sei-rmcf_rmcp.pdf" TargetMode="External"/><Relationship Id="rId11" Type="http://schemas.openxmlformats.org/officeDocument/2006/relationships/hyperlink" Target="https://www.seielect.com/catalog/sei-rmcf_rmcp.pdf" TargetMode="External"/><Relationship Id="rId12" Type="http://schemas.openxmlformats.org/officeDocument/2006/relationships/hyperlink" Target="https://www.seielect.com/catalog/sei-rmcf_rmcp.pdf" TargetMode="External"/><Relationship Id="rId13" Type="http://schemas.openxmlformats.org/officeDocument/2006/relationships/hyperlink" Target="https://ww1.microchip.com/downloads/en/DeviceDoc/AT24C01C-AT24C02C-I2C-Compatible-Two-Wire-Serial-EEPROM-1Kbit-2Kbit-20006111A.pdf" TargetMode="External"/><Relationship Id="rId14" Type="http://schemas.openxmlformats.org/officeDocument/2006/relationships/hyperlink" Target="https://www.onsemi.com/pdf/datasheet/ncp163-d.pdf" TargetMode="External"/><Relationship Id="rId15" Type="http://schemas.openxmlformats.org/officeDocument/2006/relationships/hyperlink" Target="https://www.ti.com/lit/ds/symlink/pcm1863.pdf" TargetMode="External"/><Relationship Id="rId16" Type="http://schemas.openxmlformats.org/officeDocument/2006/relationships/hyperlink" Target="https://www.ti.com/lit/ds/symlink/pcm5242.pdf" TargetMode="External"/><Relationship Id="rId17" Type="http://schemas.openxmlformats.org/officeDocument/2006/relationships/hyperlink" Target="https://media.digikey.com/pdf/Data%20Sheets/Kyocera%20International/Z_Series_X_Type.pdf" TargetMode="External"/><Relationship Id="rId18" Type="http://schemas.openxmlformats.org/officeDocument/2006/relationships/hyperlink" Target="https://media.digikey.com/pdf/Data%20Sheets/Kyocera%20International/Z_Series_X_Type.pdf" TargetMode="External"/><Relationship Id="rId19" Type="http://schemas.openxmlformats.org/officeDocument/2006/relationships/drawing" Target="../drawings/drawing3.xml"/><Relationship Id="rId20" Type="http://schemas.openxmlformats.org/officeDocument/2006/relationships/vmlDrawing" Target="../drawings/vmlDrawing1.vml"/><Relationship Id="rId21" Type="http://schemas.openxmlformats.org/officeDocument/2006/relationships/comments" Target="../comments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uidevices.com/product/resource/sj1-352xng.pdf" TargetMode="External"/><Relationship Id="rId2" Type="http://schemas.openxmlformats.org/officeDocument/2006/relationships/hyperlink" Target="https://www.seielect.com/catalog/sei-rmcf_rmcp.pdf" TargetMode="External"/><Relationship Id="rId3" Type="http://schemas.openxmlformats.org/officeDocument/2006/relationships/drawing" Target="../drawings/drawing4.xml"/><Relationship Id="rId4" Type="http://schemas.openxmlformats.org/officeDocument/2006/relationships/vmlDrawing" Target="../drawings/vmlDrawing2.vml"/><Relationship Id="rId5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21.7109375" customWidth="1"/>
    <col min="3" max="3" width="24.7109375" customWidth="1"/>
    <col min="4" max="4" width="41.7109375" customWidth="1"/>
    <col min="5" max="5" width="24.7109375" customWidth="1"/>
    <col min="6" max="6" width="54.7109375" customWidth="1"/>
    <col min="7" max="7" width="26.7109375" customWidth="1"/>
    <col min="8" max="8" width="16.7109375" customWidth="1"/>
    <col min="9" max="10" width="60.7109375" customWidth="1"/>
    <col min="11" max="11" width="18.7109375" customWidth="1"/>
  </cols>
  <sheetData>
    <row r="1" spans="1:11" ht="32" customHeight="1">
      <c r="C1" s="1" t="s">
        <v>115</v>
      </c>
      <c r="D1" s="1"/>
      <c r="E1" s="1"/>
      <c r="F1" s="1"/>
      <c r="G1" s="1"/>
      <c r="H1" s="1"/>
      <c r="I1" s="1"/>
      <c r="J1" s="1"/>
      <c r="K1" s="1"/>
    </row>
    <row r="2" spans="1:11">
      <c r="C2" s="2" t="s">
        <v>116</v>
      </c>
      <c r="D2" s="3" t="s">
        <v>117</v>
      </c>
      <c r="E2" s="2" t="s">
        <v>126</v>
      </c>
      <c r="F2" s="3">
        <v>21</v>
      </c>
    </row>
    <row r="3" spans="1:11">
      <c r="C3" s="2" t="s">
        <v>118</v>
      </c>
      <c r="D3" s="3" t="s">
        <v>119</v>
      </c>
      <c r="E3" s="2" t="s">
        <v>127</v>
      </c>
      <c r="F3" s="3" t="s">
        <v>128</v>
      </c>
    </row>
    <row r="4" spans="1:11">
      <c r="C4" s="2" t="s">
        <v>120</v>
      </c>
      <c r="D4" s="3" t="s">
        <v>121</v>
      </c>
      <c r="E4" s="2" t="s">
        <v>129</v>
      </c>
      <c r="F4" s="3" t="s">
        <v>130</v>
      </c>
    </row>
    <row r="5" spans="1:11">
      <c r="C5" s="2" t="s">
        <v>122</v>
      </c>
      <c r="D5" s="3" t="s">
        <v>123</v>
      </c>
      <c r="E5" s="2" t="s">
        <v>131</v>
      </c>
      <c r="F5" s="3">
        <v>1</v>
      </c>
    </row>
    <row r="6" spans="1:11">
      <c r="C6" s="2" t="s">
        <v>124</v>
      </c>
      <c r="D6" s="3" t="s">
        <v>125</v>
      </c>
      <c r="E6" s="2" t="s">
        <v>132</v>
      </c>
      <c r="F6" s="3">
        <v>73</v>
      </c>
    </row>
    <row r="8" spans="1:11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</row>
    <row r="9" spans="1:11" ht="30" customHeight="1">
      <c r="A9" s="5" t="s">
        <v>11</v>
      </c>
      <c r="B9" s="6" t="s">
        <v>12</v>
      </c>
      <c r="C9" s="7" t="s">
        <v>13</v>
      </c>
      <c r="D9" s="7" t="s">
        <v>14</v>
      </c>
      <c r="E9" s="7" t="s">
        <v>15</v>
      </c>
      <c r="F9" s="7" t="s">
        <v>16</v>
      </c>
      <c r="G9" s="5" t="s">
        <v>17</v>
      </c>
      <c r="H9" s="5" t="s">
        <v>18</v>
      </c>
      <c r="I9" s="7" t="s">
        <v>19</v>
      </c>
      <c r="J9" s="8" t="s">
        <v>20</v>
      </c>
      <c r="K9" s="6" t="s">
        <v>12</v>
      </c>
    </row>
    <row r="10" spans="1:11" ht="30" customHeight="1">
      <c r="A10" s="9" t="s">
        <v>21</v>
      </c>
      <c r="B10" s="10" t="s">
        <v>12</v>
      </c>
      <c r="C10" s="11" t="s">
        <v>13</v>
      </c>
      <c r="D10" s="11" t="s">
        <v>22</v>
      </c>
      <c r="E10" s="11" t="s">
        <v>23</v>
      </c>
      <c r="F10" s="11" t="s">
        <v>16</v>
      </c>
      <c r="G10" s="9" t="s">
        <v>21</v>
      </c>
      <c r="H10" s="9" t="s">
        <v>18</v>
      </c>
      <c r="I10" s="11" t="s">
        <v>24</v>
      </c>
      <c r="J10" s="12" t="s">
        <v>25</v>
      </c>
      <c r="K10" s="10" t="s">
        <v>12</v>
      </c>
    </row>
    <row r="11" spans="1:11" ht="30" customHeight="1">
      <c r="A11" s="5" t="s">
        <v>26</v>
      </c>
      <c r="B11" s="6" t="s">
        <v>12</v>
      </c>
      <c r="C11" s="7" t="s">
        <v>13</v>
      </c>
      <c r="D11" s="7" t="s">
        <v>27</v>
      </c>
      <c r="E11" s="7" t="s">
        <v>28</v>
      </c>
      <c r="F11" s="7" t="s">
        <v>16</v>
      </c>
      <c r="G11" s="5" t="s">
        <v>29</v>
      </c>
      <c r="H11" s="5" t="s">
        <v>18</v>
      </c>
      <c r="I11" s="7" t="s">
        <v>19</v>
      </c>
      <c r="J11" s="8" t="s">
        <v>30</v>
      </c>
      <c r="K11" s="6" t="s">
        <v>12</v>
      </c>
    </row>
    <row r="12" spans="1:11" ht="30" customHeight="1">
      <c r="A12" s="9" t="s">
        <v>17</v>
      </c>
      <c r="B12" s="10" t="s">
        <v>12</v>
      </c>
      <c r="C12" s="11" t="s">
        <v>13</v>
      </c>
      <c r="D12" s="11" t="s">
        <v>31</v>
      </c>
      <c r="E12" s="11" t="s">
        <v>32</v>
      </c>
      <c r="F12" s="11" t="s">
        <v>16</v>
      </c>
      <c r="G12" s="9" t="s">
        <v>33</v>
      </c>
      <c r="H12" s="9" t="s">
        <v>18</v>
      </c>
      <c r="I12" s="11" t="s">
        <v>19</v>
      </c>
      <c r="J12" s="12" t="s">
        <v>34</v>
      </c>
      <c r="K12" s="10" t="s">
        <v>12</v>
      </c>
    </row>
    <row r="13" spans="1:11" ht="30" customHeight="1">
      <c r="A13" s="5" t="s">
        <v>35</v>
      </c>
      <c r="B13" s="6" t="s">
        <v>12</v>
      </c>
      <c r="C13" s="7" t="s">
        <v>13</v>
      </c>
      <c r="D13" s="7" t="s">
        <v>36</v>
      </c>
      <c r="E13" s="7" t="s">
        <v>37</v>
      </c>
      <c r="F13" s="7" t="s">
        <v>16</v>
      </c>
      <c r="G13" s="5" t="s">
        <v>38</v>
      </c>
      <c r="H13" s="5" t="s">
        <v>18</v>
      </c>
      <c r="I13" s="7" t="s">
        <v>19</v>
      </c>
      <c r="J13" s="8" t="s">
        <v>39</v>
      </c>
      <c r="K13" s="6" t="s">
        <v>12</v>
      </c>
    </row>
    <row r="14" spans="1:11">
      <c r="A14" s="9" t="s">
        <v>40</v>
      </c>
      <c r="B14" s="10" t="s">
        <v>12</v>
      </c>
      <c r="C14" s="11" t="s">
        <v>41</v>
      </c>
      <c r="D14" s="11" t="s">
        <v>42</v>
      </c>
      <c r="E14" s="11" t="s">
        <v>43</v>
      </c>
      <c r="F14" s="11" t="s">
        <v>44</v>
      </c>
      <c r="G14" s="9" t="s">
        <v>21</v>
      </c>
      <c r="H14" s="9" t="s">
        <v>18</v>
      </c>
      <c r="I14" s="10" t="s">
        <v>12</v>
      </c>
      <c r="J14" s="10" t="s">
        <v>12</v>
      </c>
      <c r="K14" s="12" t="s">
        <v>45</v>
      </c>
    </row>
    <row r="15" spans="1:11" ht="45" customHeight="1">
      <c r="A15" s="5" t="s">
        <v>46</v>
      </c>
      <c r="B15" s="6" t="s">
        <v>12</v>
      </c>
      <c r="C15" s="7" t="s">
        <v>47</v>
      </c>
      <c r="D15" s="7" t="s">
        <v>48</v>
      </c>
      <c r="E15" s="7" t="s">
        <v>47</v>
      </c>
      <c r="F15" s="7" t="s">
        <v>49</v>
      </c>
      <c r="G15" s="5" t="s">
        <v>21</v>
      </c>
      <c r="H15" s="5" t="s">
        <v>18</v>
      </c>
      <c r="I15" s="7" t="s">
        <v>50</v>
      </c>
      <c r="J15" s="8" t="s">
        <v>51</v>
      </c>
      <c r="K15" s="6" t="s">
        <v>12</v>
      </c>
    </row>
    <row r="16" spans="1:11" ht="30" customHeight="1">
      <c r="A16" s="9" t="s">
        <v>33</v>
      </c>
      <c r="B16" s="10" t="s">
        <v>12</v>
      </c>
      <c r="C16" s="11" t="s">
        <v>52</v>
      </c>
      <c r="D16" s="11" t="s">
        <v>53</v>
      </c>
      <c r="E16" s="11" t="s">
        <v>52</v>
      </c>
      <c r="F16" s="11" t="s">
        <v>54</v>
      </c>
      <c r="G16" s="9" t="s">
        <v>11</v>
      </c>
      <c r="H16" s="9" t="s">
        <v>18</v>
      </c>
      <c r="I16" s="11" t="s">
        <v>55</v>
      </c>
      <c r="J16" s="12" t="s">
        <v>56</v>
      </c>
      <c r="K16" s="10" t="s">
        <v>12</v>
      </c>
    </row>
    <row r="17" spans="1:11" ht="30" customHeight="1">
      <c r="A17" s="5" t="s">
        <v>29</v>
      </c>
      <c r="B17" s="6" t="s">
        <v>12</v>
      </c>
      <c r="C17" s="7" t="s">
        <v>57</v>
      </c>
      <c r="D17" s="7" t="s">
        <v>58</v>
      </c>
      <c r="E17" s="7" t="s">
        <v>59</v>
      </c>
      <c r="F17" s="7" t="s">
        <v>60</v>
      </c>
      <c r="G17" s="5" t="s">
        <v>61</v>
      </c>
      <c r="H17" s="5" t="s">
        <v>18</v>
      </c>
      <c r="I17" s="7" t="s">
        <v>62</v>
      </c>
      <c r="J17" s="8" t="s">
        <v>63</v>
      </c>
      <c r="K17" s="6" t="s">
        <v>12</v>
      </c>
    </row>
    <row r="18" spans="1:11" ht="30" customHeight="1">
      <c r="A18" s="9" t="s">
        <v>61</v>
      </c>
      <c r="B18" s="10" t="s">
        <v>12</v>
      </c>
      <c r="C18" s="11" t="s">
        <v>57</v>
      </c>
      <c r="D18" s="11" t="s">
        <v>64</v>
      </c>
      <c r="E18" s="11" t="s">
        <v>65</v>
      </c>
      <c r="F18" s="11" t="s">
        <v>60</v>
      </c>
      <c r="G18" s="9" t="s">
        <v>17</v>
      </c>
      <c r="H18" s="9" t="s">
        <v>18</v>
      </c>
      <c r="I18" s="11" t="s">
        <v>62</v>
      </c>
      <c r="J18" s="12" t="s">
        <v>66</v>
      </c>
      <c r="K18" s="10" t="s">
        <v>12</v>
      </c>
    </row>
    <row r="19" spans="1:11" ht="30" customHeight="1">
      <c r="A19" s="5" t="s">
        <v>38</v>
      </c>
      <c r="B19" s="6" t="s">
        <v>12</v>
      </c>
      <c r="C19" s="7" t="s">
        <v>57</v>
      </c>
      <c r="D19" s="7" t="s">
        <v>67</v>
      </c>
      <c r="E19" s="7" t="s">
        <v>68</v>
      </c>
      <c r="F19" s="7" t="s">
        <v>60</v>
      </c>
      <c r="G19" s="5" t="s">
        <v>26</v>
      </c>
      <c r="H19" s="5" t="s">
        <v>18</v>
      </c>
      <c r="I19" s="7" t="s">
        <v>62</v>
      </c>
      <c r="J19" s="8" t="s">
        <v>69</v>
      </c>
      <c r="K19" s="6" t="s">
        <v>12</v>
      </c>
    </row>
    <row r="20" spans="1:11" ht="30" customHeight="1">
      <c r="A20" s="9" t="s">
        <v>70</v>
      </c>
      <c r="B20" s="10" t="s">
        <v>12</v>
      </c>
      <c r="C20" s="11" t="s">
        <v>57</v>
      </c>
      <c r="D20" s="11" t="s">
        <v>71</v>
      </c>
      <c r="E20" s="11" t="s">
        <v>72</v>
      </c>
      <c r="F20" s="11" t="s">
        <v>60</v>
      </c>
      <c r="G20" s="9" t="s">
        <v>35</v>
      </c>
      <c r="H20" s="9" t="s">
        <v>18</v>
      </c>
      <c r="I20" s="11" t="s">
        <v>62</v>
      </c>
      <c r="J20" s="12" t="s">
        <v>73</v>
      </c>
      <c r="K20" s="10" t="s">
        <v>12</v>
      </c>
    </row>
    <row r="21" spans="1:11" ht="30" customHeight="1">
      <c r="A21" s="5" t="s">
        <v>74</v>
      </c>
      <c r="B21" s="6" t="s">
        <v>12</v>
      </c>
      <c r="C21" s="7" t="s">
        <v>57</v>
      </c>
      <c r="D21" s="7" t="s">
        <v>75</v>
      </c>
      <c r="E21" s="7" t="s">
        <v>76</v>
      </c>
      <c r="F21" s="7" t="s">
        <v>60</v>
      </c>
      <c r="G21" s="5" t="s">
        <v>17</v>
      </c>
      <c r="H21" s="5" t="s">
        <v>18</v>
      </c>
      <c r="I21" s="7" t="s">
        <v>62</v>
      </c>
      <c r="J21" s="8" t="s">
        <v>77</v>
      </c>
      <c r="K21" s="6" t="s">
        <v>12</v>
      </c>
    </row>
    <row r="22" spans="1:11" ht="45" customHeight="1">
      <c r="A22" s="9" t="s">
        <v>78</v>
      </c>
      <c r="B22" s="10" t="s">
        <v>12</v>
      </c>
      <c r="C22" s="11" t="s">
        <v>79</v>
      </c>
      <c r="D22" s="11" t="s">
        <v>80</v>
      </c>
      <c r="E22" s="11" t="s">
        <v>79</v>
      </c>
      <c r="F22" s="11" t="s">
        <v>81</v>
      </c>
      <c r="G22" s="9" t="s">
        <v>11</v>
      </c>
      <c r="H22" s="9" t="s">
        <v>18</v>
      </c>
      <c r="I22" s="11" t="s">
        <v>82</v>
      </c>
      <c r="J22" s="12" t="s">
        <v>83</v>
      </c>
      <c r="K22" s="10" t="s">
        <v>12</v>
      </c>
    </row>
    <row r="23" spans="1:11" ht="30" customHeight="1">
      <c r="A23" s="5" t="s">
        <v>84</v>
      </c>
      <c r="B23" s="6" t="s">
        <v>12</v>
      </c>
      <c r="C23" s="7" t="s">
        <v>85</v>
      </c>
      <c r="D23" s="7" t="s">
        <v>86</v>
      </c>
      <c r="E23" s="7" t="s">
        <v>87</v>
      </c>
      <c r="F23" s="7" t="s">
        <v>81</v>
      </c>
      <c r="G23" s="5" t="s">
        <v>26</v>
      </c>
      <c r="H23" s="5" t="s">
        <v>18</v>
      </c>
      <c r="I23" s="7" t="s">
        <v>88</v>
      </c>
      <c r="J23" s="8" t="s">
        <v>89</v>
      </c>
      <c r="K23" s="6" t="s">
        <v>12</v>
      </c>
    </row>
    <row r="24" spans="1:11" ht="30" customHeight="1">
      <c r="A24" s="9" t="s">
        <v>90</v>
      </c>
      <c r="B24" s="10" t="s">
        <v>12</v>
      </c>
      <c r="C24" s="11" t="s">
        <v>91</v>
      </c>
      <c r="D24" s="11" t="s">
        <v>92</v>
      </c>
      <c r="E24" s="11" t="s">
        <v>93</v>
      </c>
      <c r="F24" s="11" t="s">
        <v>94</v>
      </c>
      <c r="G24" s="9" t="s">
        <v>11</v>
      </c>
      <c r="H24" s="9" t="s">
        <v>18</v>
      </c>
      <c r="I24" s="11" t="s">
        <v>95</v>
      </c>
      <c r="J24" s="12" t="s">
        <v>96</v>
      </c>
      <c r="K24" s="10" t="s">
        <v>12</v>
      </c>
    </row>
    <row r="25" spans="1:11" ht="30" customHeight="1">
      <c r="A25" s="5" t="s">
        <v>97</v>
      </c>
      <c r="B25" s="6" t="s">
        <v>12</v>
      </c>
      <c r="C25" s="7" t="s">
        <v>98</v>
      </c>
      <c r="D25" s="7" t="s">
        <v>99</v>
      </c>
      <c r="E25" s="7" t="s">
        <v>100</v>
      </c>
      <c r="F25" s="7" t="s">
        <v>101</v>
      </c>
      <c r="G25" s="5" t="s">
        <v>11</v>
      </c>
      <c r="H25" s="5" t="s">
        <v>18</v>
      </c>
      <c r="I25" s="7" t="s">
        <v>102</v>
      </c>
      <c r="J25" s="8" t="s">
        <v>103</v>
      </c>
      <c r="K25" s="6" t="s">
        <v>12</v>
      </c>
    </row>
    <row r="26" spans="1:11" ht="30" customHeight="1">
      <c r="A26" s="9" t="s">
        <v>104</v>
      </c>
      <c r="B26" s="10" t="s">
        <v>12</v>
      </c>
      <c r="C26" s="11" t="s">
        <v>105</v>
      </c>
      <c r="D26" s="11" t="s">
        <v>106</v>
      </c>
      <c r="E26" s="11" t="s">
        <v>107</v>
      </c>
      <c r="F26" s="11" t="s">
        <v>108</v>
      </c>
      <c r="G26" s="9" t="s">
        <v>11</v>
      </c>
      <c r="H26" s="9" t="s">
        <v>18</v>
      </c>
      <c r="I26" s="11" t="s">
        <v>109</v>
      </c>
      <c r="J26" s="12" t="s">
        <v>110</v>
      </c>
      <c r="K26" s="10" t="s">
        <v>12</v>
      </c>
    </row>
    <row r="27" spans="1:11" ht="30" customHeight="1">
      <c r="A27" s="5" t="s">
        <v>111</v>
      </c>
      <c r="B27" s="6" t="s">
        <v>12</v>
      </c>
      <c r="C27" s="7" t="s">
        <v>105</v>
      </c>
      <c r="D27" s="7" t="s">
        <v>112</v>
      </c>
      <c r="E27" s="7" t="s">
        <v>113</v>
      </c>
      <c r="F27" s="7" t="s">
        <v>108</v>
      </c>
      <c r="G27" s="5" t="s">
        <v>11</v>
      </c>
      <c r="H27" s="5" t="s">
        <v>18</v>
      </c>
      <c r="I27" s="7" t="s">
        <v>109</v>
      </c>
      <c r="J27" s="8" t="s">
        <v>114</v>
      </c>
      <c r="K27" s="6" t="s">
        <v>12</v>
      </c>
    </row>
  </sheetData>
  <mergeCells count="1">
    <mergeCell ref="C1:K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21.7109375" customWidth="1"/>
    <col min="3" max="3" width="24.7109375" customWidth="1"/>
    <col min="4" max="4" width="27.7109375" customWidth="1"/>
    <col min="5" max="5" width="19.7109375" customWidth="1"/>
    <col min="6" max="6" width="40.7109375" customWidth="1"/>
    <col min="7" max="7" width="26.7109375" customWidth="1"/>
    <col min="8" max="8" width="16.7109375" customWidth="1"/>
    <col min="9" max="10" width="60.7109375" customWidth="1"/>
    <col min="11" max="11" width="18.7109375" customWidth="1"/>
  </cols>
  <sheetData>
    <row r="1" spans="1:11" ht="32" customHeight="1">
      <c r="C1" s="1" t="s">
        <v>115</v>
      </c>
      <c r="D1" s="1"/>
      <c r="E1" s="1"/>
      <c r="F1" s="1"/>
      <c r="G1" s="1"/>
      <c r="H1" s="1"/>
      <c r="I1" s="1"/>
      <c r="J1" s="1"/>
      <c r="K1" s="1"/>
    </row>
    <row r="2" spans="1:11">
      <c r="C2" s="2" t="s">
        <v>116</v>
      </c>
      <c r="D2" s="3" t="s">
        <v>117</v>
      </c>
      <c r="E2" s="2" t="s">
        <v>126</v>
      </c>
      <c r="F2" s="3">
        <v>21</v>
      </c>
    </row>
    <row r="3" spans="1:11">
      <c r="C3" s="2" t="s">
        <v>118</v>
      </c>
      <c r="D3" s="3" t="s">
        <v>119</v>
      </c>
      <c r="E3" s="2" t="s">
        <v>127</v>
      </c>
      <c r="F3" s="3" t="s">
        <v>128</v>
      </c>
    </row>
    <row r="4" spans="1:11">
      <c r="C4" s="2" t="s">
        <v>120</v>
      </c>
      <c r="D4" s="3" t="s">
        <v>121</v>
      </c>
      <c r="E4" s="2" t="s">
        <v>129</v>
      </c>
      <c r="F4" s="3" t="s">
        <v>130</v>
      </c>
    </row>
    <row r="5" spans="1:11">
      <c r="C5" s="2" t="s">
        <v>122</v>
      </c>
      <c r="D5" s="3" t="s">
        <v>123</v>
      </c>
      <c r="E5" s="2" t="s">
        <v>131</v>
      </c>
      <c r="F5" s="3">
        <v>1</v>
      </c>
    </row>
    <row r="6" spans="1:11">
      <c r="C6" s="2" t="s">
        <v>124</v>
      </c>
      <c r="D6" s="3" t="s">
        <v>125</v>
      </c>
      <c r="E6" s="2" t="s">
        <v>132</v>
      </c>
      <c r="F6" s="3">
        <v>73</v>
      </c>
    </row>
    <row r="8" spans="1:11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</row>
    <row r="9" spans="1:11" ht="30" customHeight="1">
      <c r="A9" s="5" t="s">
        <v>11</v>
      </c>
      <c r="B9" s="6" t="s">
        <v>12</v>
      </c>
      <c r="C9" s="7" t="s">
        <v>133</v>
      </c>
      <c r="D9" s="7" t="s">
        <v>134</v>
      </c>
      <c r="E9" s="7" t="s">
        <v>135</v>
      </c>
      <c r="F9" s="7" t="s">
        <v>136</v>
      </c>
      <c r="G9" s="5" t="s">
        <v>21</v>
      </c>
      <c r="H9" s="5" t="s">
        <v>137</v>
      </c>
      <c r="I9" s="7" t="s">
        <v>138</v>
      </c>
      <c r="J9" s="8" t="s">
        <v>139</v>
      </c>
      <c r="K9" s="6" t="s">
        <v>12</v>
      </c>
    </row>
    <row r="10" spans="1:11" ht="30" customHeight="1">
      <c r="A10" s="9" t="s">
        <v>21</v>
      </c>
      <c r="B10" s="10" t="s">
        <v>12</v>
      </c>
      <c r="C10" s="11" t="s">
        <v>57</v>
      </c>
      <c r="D10" s="11" t="s">
        <v>140</v>
      </c>
      <c r="E10" s="11" t="s">
        <v>68</v>
      </c>
      <c r="F10" s="11" t="s">
        <v>60</v>
      </c>
      <c r="G10" s="9" t="s">
        <v>11</v>
      </c>
      <c r="H10" s="9" t="s">
        <v>137</v>
      </c>
      <c r="I10" s="11" t="s">
        <v>62</v>
      </c>
      <c r="J10" s="12" t="s">
        <v>69</v>
      </c>
      <c r="K10" s="10" t="s">
        <v>12</v>
      </c>
    </row>
  </sheetData>
  <mergeCells count="1">
    <mergeCell ref="C1:K1"/>
  </mergeCells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2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2"/>
  <cols>
    <col min="1" max="1" width="37.7109375" customWidth="1"/>
    <col min="2" max="2" width="20.7109375" customWidth="1"/>
    <col min="3" max="3" width="60.7109375" customWidth="1" outlineLevel="2"/>
    <col min="4" max="4" width="50.7109375" customWidth="1" outlineLevel="2"/>
    <col min="5" max="5" width="61.7109375" customWidth="1" outlineLevel="1"/>
    <col min="6" max="6" width="17.7109375" customWidth="1" outlineLevel="1"/>
    <col min="7" max="7" width="15.7109375" customWidth="1"/>
    <col min="8" max="8" width="16.7109375" customWidth="1"/>
  </cols>
  <sheetData>
    <row r="1" spans="1:8" ht="32" customHeight="1">
      <c r="D1" s="1" t="s">
        <v>115</v>
      </c>
      <c r="E1" s="1"/>
      <c r="F1" s="1"/>
      <c r="G1" s="1"/>
      <c r="H1" s="1"/>
    </row>
    <row r="2" spans="1:8">
      <c r="D2" s="2" t="s">
        <v>116</v>
      </c>
      <c r="E2" s="3" t="s">
        <v>117</v>
      </c>
      <c r="G2" s="13" t="s">
        <v>149</v>
      </c>
      <c r="H2" s="13">
        <v>1</v>
      </c>
    </row>
    <row r="3" spans="1:8">
      <c r="D3" s="2" t="s">
        <v>118</v>
      </c>
      <c r="E3" s="3" t="s">
        <v>119</v>
      </c>
      <c r="G3" s="14" t="s">
        <v>151</v>
      </c>
      <c r="H3" s="15">
        <f>TotalCost/BoardQty</f>
        <v>0.0</v>
      </c>
    </row>
    <row r="4" spans="1:8">
      <c r="D4" s="2" t="s">
        <v>120</v>
      </c>
      <c r="E4" s="3" t="s">
        <v>121</v>
      </c>
      <c r="G4" s="14" t="s">
        <v>150</v>
      </c>
      <c r="H4" s="16">
        <f>SUM(H10:H28)</f>
        <v>0</v>
      </c>
    </row>
    <row r="5" spans="1:8">
      <c r="D5" s="2" t="s">
        <v>122</v>
      </c>
      <c r="E5" s="3" t="s">
        <v>123</v>
      </c>
    </row>
    <row r="6" spans="1:8">
      <c r="D6" s="2" t="s">
        <v>124</v>
      </c>
      <c r="E6" s="3" t="s">
        <v>125</v>
      </c>
    </row>
    <row r="8" spans="1:8">
      <c r="A8" s="17" t="s">
        <v>141</v>
      </c>
      <c r="B8" s="17"/>
      <c r="C8" s="17"/>
      <c r="D8" s="17"/>
      <c r="E8" s="17"/>
      <c r="F8" s="17"/>
      <c r="G8" s="17"/>
      <c r="H8" s="17"/>
    </row>
    <row r="9" spans="1:8">
      <c r="A9" s="18" t="s">
        <v>3</v>
      </c>
      <c r="B9" s="18" t="s">
        <v>4</v>
      </c>
      <c r="C9" s="18" t="s">
        <v>1</v>
      </c>
      <c r="D9" s="18" t="s">
        <v>5</v>
      </c>
      <c r="E9" s="18" t="s">
        <v>142</v>
      </c>
      <c r="F9" s="18" t="s">
        <v>143</v>
      </c>
      <c r="G9" s="18" t="s">
        <v>144</v>
      </c>
      <c r="H9" s="18" t="s">
        <v>145</v>
      </c>
    </row>
    <row r="10" spans="1:8" ht="30" customHeight="1">
      <c r="A10" s="19" t="s">
        <v>14</v>
      </c>
      <c r="B10" s="19" t="s">
        <v>15</v>
      </c>
      <c r="D10" s="19" t="s">
        <v>16</v>
      </c>
      <c r="E10" s="19" t="s">
        <v>19</v>
      </c>
      <c r="F10" s="19">
        <f>CEILING(BoardQty*4,1)</f>
        <v>4</v>
      </c>
      <c r="H10" s="20">
        <f>IF(AND(ISNUMBER(F10),ISNUMBER(G10)),F10*G10,"")</f>
        <v/>
      </c>
    </row>
    <row r="11" spans="1:8" ht="30" customHeight="1">
      <c r="A11" s="19" t="s">
        <v>22</v>
      </c>
      <c r="B11" s="19" t="s">
        <v>23</v>
      </c>
      <c r="C11" s="19" t="s">
        <v>146</v>
      </c>
      <c r="D11" s="19" t="s">
        <v>16</v>
      </c>
      <c r="E11" s="19" t="s">
        <v>24</v>
      </c>
      <c r="F11" s="19">
        <f>CEILING(BoardQty*2,1)</f>
        <v>2</v>
      </c>
      <c r="H11" s="20">
        <f>IF(AND(ISNUMBER(F11),ISNUMBER(G11)),F11*G11,"")</f>
        <v/>
      </c>
    </row>
    <row r="12" spans="1:8" ht="30" customHeight="1">
      <c r="A12" s="19" t="s">
        <v>27</v>
      </c>
      <c r="B12" s="19" t="s">
        <v>28</v>
      </c>
      <c r="D12" s="19" t="s">
        <v>16</v>
      </c>
      <c r="E12" s="19" t="s">
        <v>19</v>
      </c>
      <c r="F12" s="19">
        <f>CEILING(BoardQty*9,1)</f>
        <v>9</v>
      </c>
      <c r="H12" s="20">
        <f>IF(AND(ISNUMBER(F12),ISNUMBER(G12)),F12*G12,"")</f>
        <v/>
      </c>
    </row>
    <row r="13" spans="1:8" ht="30" customHeight="1">
      <c r="A13" s="19" t="s">
        <v>31</v>
      </c>
      <c r="B13" s="19" t="s">
        <v>32</v>
      </c>
      <c r="D13" s="19" t="s">
        <v>16</v>
      </c>
      <c r="E13" s="19" t="s">
        <v>19</v>
      </c>
      <c r="F13" s="19">
        <f>CEILING(BoardQty*8,1)</f>
        <v>8</v>
      </c>
      <c r="H13" s="20">
        <f>IF(AND(ISNUMBER(F13),ISNUMBER(G13)),F13*G13,"")</f>
        <v/>
      </c>
    </row>
    <row r="14" spans="1:8" ht="30" customHeight="1">
      <c r="A14" s="19" t="s">
        <v>36</v>
      </c>
      <c r="B14" s="19" t="s">
        <v>37</v>
      </c>
      <c r="D14" s="19" t="s">
        <v>16</v>
      </c>
      <c r="E14" s="19" t="s">
        <v>19</v>
      </c>
      <c r="F14" s="19">
        <f>CEILING(BoardQty*11,1)</f>
        <v>11</v>
      </c>
      <c r="H14" s="20">
        <f>IF(AND(ISNUMBER(F14),ISNUMBER(G14)),F14*G14,"")</f>
        <v/>
      </c>
    </row>
    <row r="15" spans="1:8">
      <c r="A15" s="19" t="s">
        <v>42</v>
      </c>
      <c r="B15" s="19" t="s">
        <v>43</v>
      </c>
      <c r="C15" s="19" t="s">
        <v>147</v>
      </c>
      <c r="D15" s="19" t="s">
        <v>44</v>
      </c>
      <c r="F15" s="19">
        <f>CEILING(BoardQty*2,1)</f>
        <v>2</v>
      </c>
      <c r="H15" s="20">
        <f>IF(AND(ISNUMBER(F15),ISNUMBER(G15)),F15*G15,"")</f>
        <v/>
      </c>
    </row>
    <row r="16" spans="1:8" ht="45" customHeight="1">
      <c r="A16" s="19" t="s">
        <v>48</v>
      </c>
      <c r="B16" s="19" t="s">
        <v>47</v>
      </c>
      <c r="D16" s="19" t="s">
        <v>49</v>
      </c>
      <c r="E16" s="19" t="s">
        <v>50</v>
      </c>
      <c r="F16" s="19">
        <f>CEILING(BoardQty*2,1)</f>
        <v>2</v>
      </c>
      <c r="H16" s="20">
        <f>IF(AND(ISNUMBER(F16),ISNUMBER(G16)),F16*G16,"")</f>
        <v/>
      </c>
    </row>
    <row r="17" spans="1:8">
      <c r="A17" s="19" t="s">
        <v>53</v>
      </c>
      <c r="B17" s="19" t="s">
        <v>52</v>
      </c>
      <c r="D17" s="19" t="s">
        <v>54</v>
      </c>
      <c r="E17" s="19" t="s">
        <v>55</v>
      </c>
      <c r="F17" s="19">
        <f>BoardQty*1</f>
        <v>1</v>
      </c>
      <c r="H17" s="20">
        <f>IF(AND(ISNUMBER(F17),ISNUMBER(G17)),F17*G17,"")</f>
        <v/>
      </c>
    </row>
    <row r="18" spans="1:8">
      <c r="A18" s="19" t="s">
        <v>58</v>
      </c>
      <c r="B18" s="19" t="s">
        <v>59</v>
      </c>
      <c r="D18" s="19" t="s">
        <v>60</v>
      </c>
      <c r="E18" s="19" t="s">
        <v>62</v>
      </c>
      <c r="F18" s="19">
        <f>CEILING(BoardQty*10,1)</f>
        <v>10</v>
      </c>
      <c r="H18" s="20">
        <f>IF(AND(ISNUMBER(F18),ISNUMBER(G18)),F18*G18,"")</f>
        <v/>
      </c>
    </row>
    <row r="19" spans="1:8">
      <c r="A19" s="19" t="s">
        <v>64</v>
      </c>
      <c r="B19" s="19" t="s">
        <v>65</v>
      </c>
      <c r="D19" s="19" t="s">
        <v>60</v>
      </c>
      <c r="E19" s="19" t="s">
        <v>62</v>
      </c>
      <c r="F19" s="19">
        <f>CEILING(BoardQty*4,1)</f>
        <v>4</v>
      </c>
      <c r="H19" s="20">
        <f>IF(AND(ISNUMBER(F19),ISNUMBER(G19)),F19*G19,"")</f>
        <v/>
      </c>
    </row>
    <row r="20" spans="1:8">
      <c r="A20" s="19" t="s">
        <v>67</v>
      </c>
      <c r="B20" s="19" t="s">
        <v>68</v>
      </c>
      <c r="D20" s="19" t="s">
        <v>60</v>
      </c>
      <c r="E20" s="19" t="s">
        <v>62</v>
      </c>
      <c r="F20" s="19">
        <f>CEILING(BoardQty*3,1)</f>
        <v>3</v>
      </c>
      <c r="H20" s="20">
        <f>IF(AND(ISNUMBER(F20),ISNUMBER(G20)),F20*G20,"")</f>
        <v/>
      </c>
    </row>
    <row r="21" spans="1:8">
      <c r="A21" s="19" t="s">
        <v>71</v>
      </c>
      <c r="B21" s="19" t="s">
        <v>72</v>
      </c>
      <c r="D21" s="19" t="s">
        <v>60</v>
      </c>
      <c r="E21" s="19" t="s">
        <v>62</v>
      </c>
      <c r="F21" s="19">
        <f>CEILING(BoardQty*5,1)</f>
        <v>5</v>
      </c>
      <c r="H21" s="20">
        <f>IF(AND(ISNUMBER(F21),ISNUMBER(G21)),F21*G21,"")</f>
        <v/>
      </c>
    </row>
    <row r="22" spans="1:8">
      <c r="A22" s="19" t="s">
        <v>75</v>
      </c>
      <c r="B22" s="19" t="s">
        <v>76</v>
      </c>
      <c r="D22" s="19" t="s">
        <v>60</v>
      </c>
      <c r="E22" s="19" t="s">
        <v>62</v>
      </c>
      <c r="F22" s="19">
        <f>CEILING(BoardQty*4,1)</f>
        <v>4</v>
      </c>
      <c r="H22" s="20">
        <f>IF(AND(ISNUMBER(F22),ISNUMBER(G22)),F22*G22,"")</f>
        <v/>
      </c>
    </row>
    <row r="23" spans="1:8" ht="45" customHeight="1">
      <c r="A23" s="19" t="s">
        <v>80</v>
      </c>
      <c r="B23" s="19" t="s">
        <v>79</v>
      </c>
      <c r="D23" s="19" t="s">
        <v>81</v>
      </c>
      <c r="E23" s="19" t="s">
        <v>82</v>
      </c>
      <c r="F23" s="19">
        <f>BoardQty*1</f>
        <v>1</v>
      </c>
      <c r="H23" s="20">
        <f>IF(AND(ISNUMBER(F23),ISNUMBER(G23)),F23*G23,"")</f>
        <v/>
      </c>
    </row>
    <row r="24" spans="1:8">
      <c r="A24" s="19" t="s">
        <v>86</v>
      </c>
      <c r="B24" s="19" t="s">
        <v>87</v>
      </c>
      <c r="C24" s="19" t="s">
        <v>148</v>
      </c>
      <c r="D24" s="19" t="s">
        <v>81</v>
      </c>
      <c r="E24" s="19" t="s">
        <v>88</v>
      </c>
      <c r="F24" s="19">
        <f>CEILING(BoardQty*3,1)</f>
        <v>3</v>
      </c>
      <c r="H24" s="20">
        <f>IF(AND(ISNUMBER(F24),ISNUMBER(G24)),F24*G24,"")</f>
        <v/>
      </c>
    </row>
    <row r="25" spans="1:8">
      <c r="A25" s="19" t="s">
        <v>92</v>
      </c>
      <c r="B25" s="19" t="s">
        <v>93</v>
      </c>
      <c r="D25" s="19" t="s">
        <v>94</v>
      </c>
      <c r="E25" s="19" t="s">
        <v>95</v>
      </c>
      <c r="F25" s="19">
        <f>BoardQty*1</f>
        <v>1</v>
      </c>
      <c r="H25" s="20">
        <f>IF(AND(ISNUMBER(F25),ISNUMBER(G25)),F25*G25,"")</f>
        <v/>
      </c>
    </row>
    <row r="26" spans="1:8">
      <c r="A26" s="19" t="s">
        <v>99</v>
      </c>
      <c r="B26" s="19" t="s">
        <v>100</v>
      </c>
      <c r="D26" s="19" t="s">
        <v>101</v>
      </c>
      <c r="E26" s="19" t="s">
        <v>102</v>
      </c>
      <c r="F26" s="19">
        <f>BoardQty*1</f>
        <v>1</v>
      </c>
      <c r="H26" s="20">
        <f>IF(AND(ISNUMBER(F26),ISNUMBER(G26)),F26*G26,"")</f>
        <v/>
      </c>
    </row>
    <row r="27" spans="1:8" ht="30" customHeight="1">
      <c r="A27" s="19" t="s">
        <v>106</v>
      </c>
      <c r="B27" s="19" t="s">
        <v>107</v>
      </c>
      <c r="D27" s="19" t="s">
        <v>108</v>
      </c>
      <c r="E27" s="19" t="s">
        <v>109</v>
      </c>
      <c r="F27" s="19">
        <f>BoardQty*1</f>
        <v>1</v>
      </c>
      <c r="H27" s="20">
        <f>IF(AND(ISNUMBER(F27),ISNUMBER(G27)),F27*G27,"")</f>
        <v/>
      </c>
    </row>
    <row r="28" spans="1:8" ht="30" customHeight="1">
      <c r="A28" s="19" t="s">
        <v>112</v>
      </c>
      <c r="B28" s="19" t="s">
        <v>113</v>
      </c>
      <c r="D28" s="19" t="s">
        <v>108</v>
      </c>
      <c r="E28" s="19" t="s">
        <v>109</v>
      </c>
      <c r="F28" s="19">
        <f>BoardQty*1</f>
        <v>1</v>
      </c>
      <c r="H28" s="20">
        <f>IF(AND(ISNUMBER(F28),ISNUMBER(G28)),F28*G28,"")</f>
        <v/>
      </c>
    </row>
    <row r="31" spans="1:8">
      <c r="A31" s="21" t="s">
        <v>152</v>
      </c>
      <c r="B31" s="22" t="s">
        <v>153</v>
      </c>
    </row>
    <row r="32" spans="1:8">
      <c r="A32" s="23" t="s">
        <v>154</v>
      </c>
    </row>
  </sheetData>
  <mergeCells count="2">
    <mergeCell ref="A8:H8"/>
    <mergeCell ref="D1:H1"/>
  </mergeCells>
  <conditionalFormatting sqref="F10">
    <cfRule type="expression" dxfId="0" priority="1">
      <formula>AND(ISBLANK(E10),TRUE())</formula>
    </cfRule>
  </conditionalFormatting>
  <conditionalFormatting sqref="F11">
    <cfRule type="expression" dxfId="0" priority="2">
      <formula>AND(ISBLANK(E11),TRUE())</formula>
    </cfRule>
  </conditionalFormatting>
  <conditionalFormatting sqref="F12">
    <cfRule type="expression" dxfId="0" priority="3">
      <formula>AND(ISBLANK(E12),TRUE())</formula>
    </cfRule>
  </conditionalFormatting>
  <conditionalFormatting sqref="F13">
    <cfRule type="expression" dxfId="0" priority="4">
      <formula>AND(ISBLANK(E13),TRUE())</formula>
    </cfRule>
  </conditionalFormatting>
  <conditionalFormatting sqref="F14">
    <cfRule type="expression" dxfId="0" priority="5">
      <formula>AND(ISBLANK(E14),TRUE())</formula>
    </cfRule>
  </conditionalFormatting>
  <conditionalFormatting sqref="F15">
    <cfRule type="expression" dxfId="0" priority="6">
      <formula>AND(ISBLANK(E15),TRUE())</formula>
    </cfRule>
  </conditionalFormatting>
  <conditionalFormatting sqref="F16">
    <cfRule type="expression" dxfId="0" priority="7">
      <formula>AND(ISBLANK(E16),TRUE())</formula>
    </cfRule>
  </conditionalFormatting>
  <conditionalFormatting sqref="F17">
    <cfRule type="expression" dxfId="0" priority="8">
      <formula>AND(ISBLANK(E17),TRUE())</formula>
    </cfRule>
  </conditionalFormatting>
  <conditionalFormatting sqref="F18">
    <cfRule type="expression" dxfId="0" priority="9">
      <formula>AND(ISBLANK(E18),TRUE())</formula>
    </cfRule>
  </conditionalFormatting>
  <conditionalFormatting sqref="F19">
    <cfRule type="expression" dxfId="0" priority="10">
      <formula>AND(ISBLANK(E19),TRUE())</formula>
    </cfRule>
  </conditionalFormatting>
  <conditionalFormatting sqref="F20">
    <cfRule type="expression" dxfId="0" priority="11">
      <formula>AND(ISBLANK(E20),TRUE())</formula>
    </cfRule>
  </conditionalFormatting>
  <conditionalFormatting sqref="F21">
    <cfRule type="expression" dxfId="0" priority="12">
      <formula>AND(ISBLANK(E21),TRUE())</formula>
    </cfRule>
  </conditionalFormatting>
  <conditionalFormatting sqref="F22">
    <cfRule type="expression" dxfId="0" priority="13">
      <formula>AND(ISBLANK(E22),TRUE())</formula>
    </cfRule>
  </conditionalFormatting>
  <conditionalFormatting sqref="F23">
    <cfRule type="expression" dxfId="0" priority="14">
      <formula>AND(ISBLANK(E23),TRUE())</formula>
    </cfRule>
  </conditionalFormatting>
  <conditionalFormatting sqref="F24">
    <cfRule type="expression" dxfId="0" priority="15">
      <formula>AND(ISBLANK(E24),TRUE())</formula>
    </cfRule>
  </conditionalFormatting>
  <conditionalFormatting sqref="F25">
    <cfRule type="expression" dxfId="0" priority="16">
      <formula>AND(ISBLANK(E25),TRUE())</formula>
    </cfRule>
  </conditionalFormatting>
  <conditionalFormatting sqref="F26">
    <cfRule type="expression" dxfId="0" priority="17">
      <formula>AND(ISBLANK(E26),TRUE())</formula>
    </cfRule>
  </conditionalFormatting>
  <conditionalFormatting sqref="F27">
    <cfRule type="expression" dxfId="0" priority="18">
      <formula>AND(ISBLANK(E27),TRUE())</formula>
    </cfRule>
  </conditionalFormatting>
  <conditionalFormatting sqref="F28">
    <cfRule type="expression" dxfId="0" priority="19">
      <formula>AND(ISBLANK(E28),TRUE())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6" r:id="rId6"/>
    <hyperlink ref="E17" r:id="rId7"/>
    <hyperlink ref="E18" r:id="rId8"/>
    <hyperlink ref="E19" r:id="rId9"/>
    <hyperlink ref="E20" r:id="rId10"/>
    <hyperlink ref="E21" r:id="rId11"/>
    <hyperlink ref="E22" r:id="rId12"/>
    <hyperlink ref="E23" r:id="rId13"/>
    <hyperlink ref="E24" r:id="rId14"/>
    <hyperlink ref="E25" r:id="rId15"/>
    <hyperlink ref="E26" r:id="rId16"/>
    <hyperlink ref="E27" r:id="rId17"/>
    <hyperlink ref="E28" r:id="rId18"/>
  </hyperlinks>
  <pageMargins left="0.7" right="0.7" top="0.75" bottom="0.75" header="0.3" footer="0.3"/>
  <drawing r:id="rId19"/>
  <legacyDrawing r:id="rId20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>
      <pane xSplit="7" ySplit="9" topLeftCell="H10" activePane="bottomRight" state="frozen"/>
      <selection pane="topRight" activeCell="H1" sqref="H1"/>
      <selection pane="bottomLeft" activeCell="A10" sqref="A10"/>
      <selection pane="bottomRight"/>
    </sheetView>
  </sheetViews>
  <sheetFormatPr defaultRowHeight="15" outlineLevelCol="2"/>
  <cols>
    <col min="1" max="1" width="12.7109375" customWidth="1"/>
    <col min="2" max="2" width="11.7109375" customWidth="1"/>
    <col min="3" max="3" width="36.7109375" customWidth="1" outlineLevel="2"/>
    <col min="4" max="4" width="59.7109375" customWidth="1" outlineLevel="1"/>
    <col min="5" max="5" width="28.7109375" customWidth="1" outlineLevel="1"/>
    <col min="6" max="6" width="15.7109375" customWidth="1"/>
    <col min="7" max="7" width="16.7109375" customWidth="1"/>
  </cols>
  <sheetData>
    <row r="1" spans="1:7" ht="32" customHeight="1">
      <c r="D1" s="1" t="s">
        <v>115</v>
      </c>
      <c r="E1" s="1"/>
      <c r="F1" s="1"/>
      <c r="G1" s="1"/>
    </row>
    <row r="2" spans="1:7">
      <c r="D2" s="2" t="s">
        <v>116</v>
      </c>
      <c r="E2" s="3" t="s">
        <v>117</v>
      </c>
      <c r="F2" s="13" t="s">
        <v>149</v>
      </c>
      <c r="G2" s="13">
        <v>1</v>
      </c>
    </row>
    <row r="3" spans="1:7">
      <c r="D3" s="2" t="s">
        <v>118</v>
      </c>
      <c r="E3" s="3" t="s">
        <v>119</v>
      </c>
      <c r="F3" s="14" t="s">
        <v>151</v>
      </c>
      <c r="G3" s="15">
        <f>TotalCost/BoardQty</f>
        <v>0.0</v>
      </c>
    </row>
    <row r="4" spans="1:7">
      <c r="D4" s="2" t="s">
        <v>120</v>
      </c>
      <c r="E4" s="3" t="s">
        <v>121</v>
      </c>
      <c r="F4" s="14" t="s">
        <v>150</v>
      </c>
      <c r="G4" s="16">
        <f>SUM(G10:G11)</f>
        <v>0</v>
      </c>
    </row>
    <row r="5" spans="1:7">
      <c r="D5" s="2" t="s">
        <v>122</v>
      </c>
      <c r="E5" s="3" t="s">
        <v>123</v>
      </c>
    </row>
    <row r="6" spans="1:7">
      <c r="D6" s="2" t="s">
        <v>124</v>
      </c>
      <c r="E6" s="3" t="s">
        <v>125</v>
      </c>
    </row>
    <row r="8" spans="1:7">
      <c r="A8" s="17" t="s">
        <v>141</v>
      </c>
      <c r="B8" s="17"/>
      <c r="C8" s="17"/>
      <c r="D8" s="17"/>
      <c r="E8" s="17"/>
      <c r="F8" s="17"/>
      <c r="G8" s="17"/>
    </row>
    <row r="9" spans="1:7">
      <c r="A9" s="18" t="s">
        <v>3</v>
      </c>
      <c r="B9" s="18" t="s">
        <v>4</v>
      </c>
      <c r="C9" s="18" t="s">
        <v>5</v>
      </c>
      <c r="D9" s="18" t="s">
        <v>142</v>
      </c>
      <c r="E9" s="18" t="s">
        <v>143</v>
      </c>
      <c r="F9" s="18" t="s">
        <v>144</v>
      </c>
      <c r="G9" s="18" t="s">
        <v>145</v>
      </c>
    </row>
    <row r="10" spans="1:7">
      <c r="A10" s="19" t="s">
        <v>134</v>
      </c>
      <c r="B10" s="19" t="s">
        <v>135</v>
      </c>
      <c r="C10" s="19" t="s">
        <v>136</v>
      </c>
      <c r="D10" s="19" t="s">
        <v>138</v>
      </c>
      <c r="E10" s="19">
        <f>CEILING(BoardQty*2,1)</f>
        <v>2</v>
      </c>
      <c r="G10" s="20">
        <f>IF(AND(ISNUMBER(E10),ISNUMBER(F10)),E10*F10,"")</f>
        <v/>
      </c>
    </row>
    <row r="11" spans="1:7">
      <c r="A11" s="19" t="s">
        <v>140</v>
      </c>
      <c r="B11" s="19" t="s">
        <v>68</v>
      </c>
      <c r="C11" s="19" t="s">
        <v>60</v>
      </c>
      <c r="D11" s="19" t="s">
        <v>62</v>
      </c>
      <c r="E11" s="19">
        <f>BoardQty*1</f>
        <v>1</v>
      </c>
      <c r="G11" s="20">
        <f>IF(AND(ISNUMBER(E11),ISNUMBER(F11)),E11*F11,"")</f>
        <v/>
      </c>
    </row>
    <row r="14" spans="1:7">
      <c r="A14" s="21" t="s">
        <v>152</v>
      </c>
      <c r="B14" s="22" t="s">
        <v>153</v>
      </c>
    </row>
    <row r="15" spans="1:7">
      <c r="A15" s="23" t="s">
        <v>154</v>
      </c>
    </row>
  </sheetData>
  <mergeCells count="2">
    <mergeCell ref="A8:G8"/>
    <mergeCell ref="D1:G1"/>
  </mergeCells>
  <conditionalFormatting sqref="E10">
    <cfRule type="expression" dxfId="0" priority="1">
      <formula>AND(ISBLANK(D10),TRUE())</formula>
    </cfRule>
  </conditionalFormatting>
  <conditionalFormatting sqref="E11">
    <cfRule type="expression" dxfId="0" priority="2">
      <formula>AND(ISBLANK(D11),TRUE())</formula>
    </cfRule>
  </conditionalFormatting>
  <hyperlinks>
    <hyperlink ref="D10" r:id="rId1"/>
    <hyperlink ref="D11" r:id="rId2"/>
  </hyperlinks>
  <pageMargins left="0.7" right="0.7" top="0.75" bottom="0.75" header="0.3" footer="0.3"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155</v>
      </c>
    </row>
    <row r="2" spans="1:1">
      <c r="A2" s="7" t="s">
        <v>156</v>
      </c>
    </row>
    <row r="3" spans="1:1">
      <c r="A3" s="5" t="s">
        <v>157</v>
      </c>
    </row>
    <row r="4" spans="1:1">
      <c r="A4" s="8" t="s">
        <v>158</v>
      </c>
    </row>
    <row r="5" spans="1:1">
      <c r="A5" s="6" t="s">
        <v>159</v>
      </c>
    </row>
    <row r="7" spans="1:1">
      <c r="A7" t="s">
        <v>160</v>
      </c>
    </row>
    <row r="8" spans="1:1">
      <c r="A8" s="24" t="s">
        <v>161</v>
      </c>
    </row>
    <row r="9" spans="1:1">
      <c r="A9" s="25" t="s">
        <v>162</v>
      </c>
    </row>
    <row r="10" spans="1:1">
      <c r="A10" s="26" t="s">
        <v>163</v>
      </c>
    </row>
    <row r="11" spans="1:1">
      <c r="A11" s="27" t="s">
        <v>164</v>
      </c>
    </row>
    <row r="12" spans="1:1">
      <c r="A12" s="28" t="s">
        <v>165</v>
      </c>
    </row>
    <row r="13" spans="1:1">
      <c r="A13" s="29" t="s">
        <v>166</v>
      </c>
    </row>
    <row r="14" spans="1:1">
      <c r="A14" s="30" t="s">
        <v>167</v>
      </c>
    </row>
    <row r="15" spans="1:1">
      <c r="A15" s="31" t="s">
        <v>168</v>
      </c>
    </row>
    <row r="16" spans="1:1">
      <c r="A16" s="32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BoM</vt:lpstr>
      <vt:lpstr>DNF</vt:lpstr>
      <vt:lpstr>Costs</vt:lpstr>
      <vt:lpstr>Costs (DNF)</vt:lpstr>
      <vt:lpstr>Colors</vt:lpstr>
      <vt:lpstr>'Costs (DNF)'!BoardQty</vt:lpstr>
      <vt:lpstr>'Costs'!BoardQty</vt:lpstr>
      <vt:lpstr>BoM!Print_Titles</vt:lpstr>
      <vt:lpstr>DNF!Print_Titles</vt:lpstr>
      <vt:lpstr>'Costs (DNF)'!TotalCost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2026-04-22T21:50:05Z</dcterms:created>
  <dcterms:modified xsi:type="dcterms:W3CDTF">2026-04-22T21:50:05Z</dcterms:modified>
</cp:coreProperties>
</file>